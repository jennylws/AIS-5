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E52D141-ADE4-4D31-AB99-F79876B3A431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4" i="7"/>
  <c r="B3" i="7"/>
  <c r="B2" i="7"/>
  <c r="B3" i="4"/>
  <c r="B4" i="4"/>
  <c r="B2" i="4"/>
  <c r="B4" i="9"/>
  <c r="B3" i="9"/>
  <c r="B4" i="6"/>
  <c r="B5" i="6"/>
  <c r="B6" i="6"/>
  <c r="B3" i="6"/>
  <c r="B3" i="1"/>
  <c r="B4" i="1"/>
  <c r="B5" i="1"/>
  <c r="B6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<sst xmlns="http://schemas.openxmlformats.org/spreadsheetml/2006/main" count="483" uniqueCount="91">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</sst>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tabSelected="1" workbookViewId="0">
      <selection activeCell="B3" sqref="B3"/>
    </sheetView>
  </sheetViews>
  <sheetFormatPr defaultRowHeight="14.4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>
      <c r="A2" t="s">
        <v>3</v>
      </c>
      <c r="B2" t="s">
        <v>10</v>
      </c>
      <c r="E2">
        <v>1001</v>
      </c>
      <c r="F2" t="s">
        <v>11</v>
      </c>
      <c r="G2" t="s">
        <v>12</v>
      </c>
      <c r="H2" t="s">
        <v>13</v>
      </c>
      <c r="I2">
        <v>30</v>
      </c>
      <c r="J2" t="s">
        <v>14</v>
      </c>
      <c r="K2" t="s">
        <v>15</v>
      </c>
      <c r="L2">
        <v>45000</v>
      </c>
      <c r="M2" s="1" t="s">
        <v>16</v>
      </c>
      <c r="N2" s="1" t="s">
        <v>17</v>
      </c>
      <c r="O2" s="2" t="s">
        <v>18</v>
      </c>
    </row>
    <row r="3" spans="1:15" ht="15">
      <c r="A3" t="s">
        <v>19</v>
      </c>
      <c r="B3" s="3" t="str">
        <f>_xlfn.XLOOKUP(A3,H2:H10,O2:O10)</f>
        <v>Toby.Flenderson@DunderMifflinCorporate.com</v>
      </c>
      <c r="E3">
        <v>1002</v>
      </c>
      <c r="F3" t="s">
        <v>20</v>
      </c>
      <c r="G3" t="s">
        <v>21</v>
      </c>
      <c r="H3" t="s">
        <v>22</v>
      </c>
      <c r="I3">
        <v>30</v>
      </c>
      <c r="J3" t="s">
        <v>23</v>
      </c>
      <c r="K3" t="s">
        <v>24</v>
      </c>
      <c r="L3">
        <v>36000</v>
      </c>
      <c r="M3" s="1" t="s">
        <v>25</v>
      </c>
      <c r="N3" s="1" t="s">
        <v>26</v>
      </c>
      <c r="O3" s="2" t="s">
        <v>27</v>
      </c>
    </row>
    <row r="4" spans="1:15" ht="30.75">
      <c r="A4" t="s">
        <v>22</v>
      </c>
      <c r="B4" s="3" t="str">
        <f t="shared" ref="B4:B6" si="0">_xlfn.XLOOKUP(A4, H3:H11, O3:O11)</f>
        <v>Pam.Beasley@DunderMifflin.com</v>
      </c>
      <c r="E4">
        <v>1003</v>
      </c>
      <c r="F4" t="s">
        <v>28</v>
      </c>
      <c r="G4" t="s">
        <v>29</v>
      </c>
      <c r="H4" t="s">
        <v>30</v>
      </c>
      <c r="I4">
        <v>29</v>
      </c>
      <c r="J4" t="s">
        <v>14</v>
      </c>
      <c r="K4" t="s">
        <v>15</v>
      </c>
      <c r="L4">
        <v>63000</v>
      </c>
      <c r="M4" s="1" t="s">
        <v>31</v>
      </c>
      <c r="N4" s="1" t="s">
        <v>32</v>
      </c>
      <c r="O4" s="2" t="s">
        <v>33</v>
      </c>
    </row>
    <row r="5" spans="1:15" ht="30.75">
      <c r="A5" t="s">
        <v>34</v>
      </c>
      <c r="B5" s="3" t="str">
        <f t="shared" si="0"/>
        <v>Meredith.Palmer@Yahoo.com</v>
      </c>
      <c r="E5">
        <v>1004</v>
      </c>
      <c r="F5" t="s">
        <v>35</v>
      </c>
      <c r="G5" t="s">
        <v>36</v>
      </c>
      <c r="H5" t="s">
        <v>37</v>
      </c>
      <c r="I5">
        <v>31</v>
      </c>
      <c r="J5" t="s">
        <v>23</v>
      </c>
      <c r="K5" t="s">
        <v>38</v>
      </c>
      <c r="L5">
        <v>47000</v>
      </c>
      <c r="M5" s="1" t="s">
        <v>39</v>
      </c>
      <c r="N5" s="1" t="s">
        <v>40</v>
      </c>
      <c r="O5" s="2" t="s">
        <v>41</v>
      </c>
    </row>
    <row r="6" spans="1:15" ht="30.75">
      <c r="A6" t="s">
        <v>42</v>
      </c>
      <c r="B6" s="3" t="str">
        <f t="shared" si="0"/>
        <v>Kevin.Malone@DunderMifflin.com</v>
      </c>
      <c r="E6">
        <v>1005</v>
      </c>
      <c r="F6" t="s">
        <v>43</v>
      </c>
      <c r="G6" t="s">
        <v>44</v>
      </c>
      <c r="H6" t="s">
        <v>19</v>
      </c>
      <c r="I6">
        <v>32</v>
      </c>
      <c r="J6" t="s">
        <v>14</v>
      </c>
      <c r="K6" t="s">
        <v>45</v>
      </c>
      <c r="L6">
        <v>50000</v>
      </c>
      <c r="M6" s="1" t="s">
        <v>46</v>
      </c>
      <c r="N6" s="1" t="s">
        <v>47</v>
      </c>
      <c r="O6" s="2" t="s">
        <v>48</v>
      </c>
    </row>
    <row r="7" spans="1:15">
      <c r="E7">
        <v>1006</v>
      </c>
      <c r="F7" t="s">
        <v>49</v>
      </c>
      <c r="G7" t="s">
        <v>50</v>
      </c>
      <c r="H7" t="s">
        <v>51</v>
      </c>
      <c r="I7">
        <v>35</v>
      </c>
      <c r="J7" t="s">
        <v>14</v>
      </c>
      <c r="K7" t="s">
        <v>52</v>
      </c>
      <c r="L7">
        <v>65000</v>
      </c>
      <c r="M7" s="1" t="s">
        <v>46</v>
      </c>
      <c r="N7" s="1" t="s">
        <v>53</v>
      </c>
      <c r="O7" s="2" t="s">
        <v>54</v>
      </c>
    </row>
    <row r="8" spans="1:15">
      <c r="E8">
        <v>1007</v>
      </c>
      <c r="F8" t="s">
        <v>55</v>
      </c>
      <c r="G8" t="s">
        <v>56</v>
      </c>
      <c r="H8" t="s">
        <v>34</v>
      </c>
      <c r="I8">
        <v>32</v>
      </c>
      <c r="J8" t="s">
        <v>23</v>
      </c>
      <c r="K8" t="s">
        <v>57</v>
      </c>
      <c r="L8">
        <v>41000</v>
      </c>
      <c r="M8" s="1" t="s">
        <v>58</v>
      </c>
      <c r="N8" s="1" t="s">
        <v>53</v>
      </c>
      <c r="O8" s="2" t="s">
        <v>59</v>
      </c>
    </row>
    <row r="9" spans="1:15">
      <c r="E9">
        <v>1008</v>
      </c>
      <c r="F9" t="s">
        <v>60</v>
      </c>
      <c r="G9" t="s">
        <v>61</v>
      </c>
      <c r="H9" t="s">
        <v>62</v>
      </c>
      <c r="I9">
        <v>38</v>
      </c>
      <c r="J9" t="s">
        <v>14</v>
      </c>
      <c r="K9" t="s">
        <v>15</v>
      </c>
      <c r="L9">
        <v>48000</v>
      </c>
      <c r="M9" s="1" t="s">
        <v>63</v>
      </c>
      <c r="N9" s="1" t="s">
        <v>64</v>
      </c>
      <c r="O9" s="2" t="s">
        <v>65</v>
      </c>
    </row>
    <row r="10" spans="1:15">
      <c r="E10">
        <v>1009</v>
      </c>
      <c r="F10" t="s">
        <v>66</v>
      </c>
      <c r="G10" t="s">
        <v>67</v>
      </c>
      <c r="H10" t="s">
        <v>42</v>
      </c>
      <c r="I10">
        <v>31</v>
      </c>
      <c r="J10" t="s">
        <v>14</v>
      </c>
      <c r="K10" t="s">
        <v>38</v>
      </c>
      <c r="L10">
        <v>42000</v>
      </c>
      <c r="M10" s="1" t="s">
        <v>68</v>
      </c>
      <c r="N10" s="1" t="s">
        <v>64</v>
      </c>
      <c r="O10" s="2" t="s">
        <v>69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5" sqref="B5"/>
    </sheetView>
  </sheetViews>
  <sheetFormatPr defaultRowHeight="14.4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>
      <c r="A2" t="s">
        <v>3</v>
      </c>
      <c r="B2" t="s">
        <v>9</v>
      </c>
      <c r="C2" t="s">
        <v>10</v>
      </c>
      <c r="F2">
        <v>1001</v>
      </c>
      <c r="G2" t="s">
        <v>11</v>
      </c>
      <c r="H2" t="s">
        <v>12</v>
      </c>
      <c r="I2" t="s">
        <v>13</v>
      </c>
      <c r="J2">
        <v>30</v>
      </c>
      <c r="K2" t="s">
        <v>14</v>
      </c>
      <c r="L2" t="s">
        <v>15</v>
      </c>
      <c r="M2">
        <v>45000</v>
      </c>
      <c r="N2" s="1" t="s">
        <v>16</v>
      </c>
      <c r="O2" s="1" t="s">
        <v>17</v>
      </c>
      <c r="P2" s="2" t="s">
        <v>18</v>
      </c>
    </row>
    <row r="3" spans="1:16">
      <c r="A3" t="s">
        <v>19</v>
      </c>
      <c r="B3" t="str">
        <f>_xlfn.XLOOKUP(A3,H2:H10,O2:O10, "Not Found")</f>
        <v>Not Found</v>
      </c>
      <c r="F3">
        <v>1002</v>
      </c>
      <c r="G3" t="s">
        <v>20</v>
      </c>
      <c r="H3" t="s">
        <v>21</v>
      </c>
      <c r="I3" t="s">
        <v>22</v>
      </c>
      <c r="J3">
        <v>30</v>
      </c>
      <c r="K3" t="s">
        <v>23</v>
      </c>
      <c r="L3" t="s">
        <v>24</v>
      </c>
      <c r="M3">
        <v>36000</v>
      </c>
      <c r="N3" s="1" t="s">
        <v>25</v>
      </c>
      <c r="O3" s="1" t="s">
        <v>26</v>
      </c>
      <c r="P3" s="2" t="s">
        <v>27</v>
      </c>
    </row>
    <row r="4" spans="1:16">
      <c r="A4" t="s">
        <v>22</v>
      </c>
      <c r="B4" t="str">
        <f>_xlfn.XLOOKUP("*"&amp;A4,H2:H10,O2:O10,"Not Found",0,1)</f>
        <v>Not Found</v>
      </c>
      <c r="F4">
        <v>1003</v>
      </c>
      <c r="G4" t="s">
        <v>28</v>
      </c>
      <c r="H4" t="s">
        <v>29</v>
      </c>
      <c r="I4" t="s">
        <v>30</v>
      </c>
      <c r="J4">
        <v>29</v>
      </c>
      <c r="K4" t="s">
        <v>14</v>
      </c>
      <c r="L4" t="s">
        <v>15</v>
      </c>
      <c r="M4">
        <v>63000</v>
      </c>
      <c r="N4" s="1" t="s">
        <v>31</v>
      </c>
      <c r="O4" s="1" t="s">
        <v>32</v>
      </c>
      <c r="P4" s="2" t="s">
        <v>33</v>
      </c>
    </row>
    <row r="5" spans="1:16">
      <c r="A5" t="s">
        <v>34</v>
      </c>
      <c r="B5" t="str">
        <f t="shared" ref="B5:B6" si="0">_xlfn.XLOOKUP("*"&amp;A5,H4:H12,O4:O12, "Not Found",2)</f>
        <v>Not Found</v>
      </c>
      <c r="F5">
        <v>1004</v>
      </c>
      <c r="G5" t="s">
        <v>35</v>
      </c>
      <c r="H5" t="s">
        <v>36</v>
      </c>
      <c r="I5" t="s">
        <v>37</v>
      </c>
      <c r="J5">
        <v>31</v>
      </c>
      <c r="K5" t="s">
        <v>23</v>
      </c>
      <c r="L5" t="s">
        <v>38</v>
      </c>
      <c r="M5">
        <v>47000</v>
      </c>
      <c r="N5" s="1" t="s">
        <v>39</v>
      </c>
      <c r="O5" s="1" t="s">
        <v>40</v>
      </c>
      <c r="P5" s="2" t="s">
        <v>41</v>
      </c>
    </row>
    <row r="6" spans="1:16">
      <c r="A6" t="s">
        <v>42</v>
      </c>
      <c r="B6" t="str">
        <f t="shared" si="0"/>
        <v>Not Found</v>
      </c>
      <c r="F6">
        <v>1005</v>
      </c>
      <c r="G6" t="s">
        <v>43</v>
      </c>
      <c r="H6" t="s">
        <v>44</v>
      </c>
      <c r="I6" t="s">
        <v>19</v>
      </c>
      <c r="J6">
        <v>32</v>
      </c>
      <c r="K6" t="s">
        <v>14</v>
      </c>
      <c r="L6" t="s">
        <v>45</v>
      </c>
      <c r="M6">
        <v>50000</v>
      </c>
      <c r="N6" s="1" t="s">
        <v>46</v>
      </c>
      <c r="O6" s="1" t="s">
        <v>47</v>
      </c>
      <c r="P6" s="2" t="s">
        <v>48</v>
      </c>
    </row>
    <row r="7" spans="1:16">
      <c r="F7">
        <v>1006</v>
      </c>
      <c r="G7" t="s">
        <v>49</v>
      </c>
      <c r="H7" t="s">
        <v>50</v>
      </c>
      <c r="I7" t="s">
        <v>51</v>
      </c>
      <c r="J7">
        <v>35</v>
      </c>
      <c r="K7" t="s">
        <v>14</v>
      </c>
      <c r="L7" t="s">
        <v>52</v>
      </c>
      <c r="M7">
        <v>65000</v>
      </c>
      <c r="N7" s="1" t="s">
        <v>46</v>
      </c>
      <c r="O7" s="1" t="s">
        <v>53</v>
      </c>
      <c r="P7" s="2" t="s">
        <v>54</v>
      </c>
    </row>
    <row r="8" spans="1:16">
      <c r="F8">
        <v>1007</v>
      </c>
      <c r="G8" t="s">
        <v>55</v>
      </c>
      <c r="H8" t="s">
        <v>56</v>
      </c>
      <c r="I8" t="s">
        <v>34</v>
      </c>
      <c r="J8">
        <v>32</v>
      </c>
      <c r="K8" t="s">
        <v>23</v>
      </c>
      <c r="L8" t="s">
        <v>57</v>
      </c>
      <c r="M8">
        <v>41000</v>
      </c>
      <c r="N8" s="1" t="s">
        <v>58</v>
      </c>
      <c r="O8" s="1" t="s">
        <v>53</v>
      </c>
      <c r="P8" s="2" t="s">
        <v>59</v>
      </c>
    </row>
    <row r="9" spans="1:16">
      <c r="F9">
        <v>1008</v>
      </c>
      <c r="G9" t="s">
        <v>60</v>
      </c>
      <c r="H9" t="s">
        <v>61</v>
      </c>
      <c r="I9" t="s">
        <v>62</v>
      </c>
      <c r="J9">
        <v>38</v>
      </c>
      <c r="K9" t="s">
        <v>14</v>
      </c>
      <c r="L9" t="s">
        <v>15</v>
      </c>
      <c r="M9">
        <v>48000</v>
      </c>
      <c r="N9" s="1" t="s">
        <v>63</v>
      </c>
      <c r="O9" s="1" t="s">
        <v>64</v>
      </c>
      <c r="P9" s="2" t="s">
        <v>65</v>
      </c>
    </row>
    <row r="10" spans="1:16">
      <c r="F10">
        <v>1009</v>
      </c>
      <c r="G10" t="s">
        <v>66</v>
      </c>
      <c r="H10" t="s">
        <v>67</v>
      </c>
      <c r="I10" t="s">
        <v>42</v>
      </c>
      <c r="J10">
        <v>31</v>
      </c>
      <c r="K10" t="s">
        <v>14</v>
      </c>
      <c r="L10" t="s">
        <v>38</v>
      </c>
      <c r="M10">
        <v>42000</v>
      </c>
      <c r="N10" s="1" t="s">
        <v>68</v>
      </c>
      <c r="O10" s="1" t="s">
        <v>64</v>
      </c>
      <c r="P10" s="2" t="s">
        <v>69</v>
      </c>
    </row>
    <row r="22" spans="9:9">
      <c r="I22" t="str">
        <f t="shared" ref="I22:I23" si="1">CONCATENATE(G12," ",H12)</f>
        <v xml:space="preserve"> </v>
      </c>
    </row>
    <row r="23" spans="9:9">
      <c r="I23" t="str">
        <f t="shared" si="1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4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>
      <c r="A2" t="s">
        <v>3</v>
      </c>
      <c r="B2" t="s">
        <v>10</v>
      </c>
      <c r="E2">
        <v>1001</v>
      </c>
      <c r="F2" t="s">
        <v>11</v>
      </c>
      <c r="G2" t="s">
        <v>12</v>
      </c>
      <c r="H2" t="s">
        <v>13</v>
      </c>
      <c r="I2">
        <v>30</v>
      </c>
      <c r="J2" t="s">
        <v>14</v>
      </c>
      <c r="K2" t="s">
        <v>15</v>
      </c>
      <c r="L2">
        <v>45000</v>
      </c>
      <c r="M2" s="1" t="s">
        <v>16</v>
      </c>
      <c r="N2" s="1" t="s">
        <v>17</v>
      </c>
      <c r="O2" s="2" t="s">
        <v>18</v>
      </c>
    </row>
    <row r="3" spans="1:15">
      <c r="A3" t="s">
        <v>70</v>
      </c>
      <c r="E3">
        <v>1002</v>
      </c>
      <c r="F3" t="s">
        <v>20</v>
      </c>
      <c r="G3" t="s">
        <v>21</v>
      </c>
      <c r="H3" t="s">
        <v>22</v>
      </c>
      <c r="I3">
        <v>30</v>
      </c>
      <c r="J3" t="s">
        <v>23</v>
      </c>
      <c r="K3" t="s">
        <v>24</v>
      </c>
      <c r="L3">
        <v>36000</v>
      </c>
      <c r="M3" s="1" t="s">
        <v>25</v>
      </c>
      <c r="N3" s="1" t="s">
        <v>26</v>
      </c>
      <c r="O3" s="2" t="s">
        <v>27</v>
      </c>
    </row>
    <row r="4" spans="1:15">
      <c r="A4" t="s">
        <v>21</v>
      </c>
      <c r="E4">
        <v>1003</v>
      </c>
      <c r="F4" t="s">
        <v>28</v>
      </c>
      <c r="G4" t="s">
        <v>29</v>
      </c>
      <c r="H4" t="s">
        <v>30</v>
      </c>
      <c r="I4">
        <v>29</v>
      </c>
      <c r="J4" t="s">
        <v>14</v>
      </c>
      <c r="K4" t="s">
        <v>15</v>
      </c>
      <c r="L4">
        <v>63000</v>
      </c>
      <c r="M4" s="1" t="s">
        <v>31</v>
      </c>
      <c r="N4" s="1" t="s">
        <v>32</v>
      </c>
      <c r="O4" s="2" t="s">
        <v>33</v>
      </c>
    </row>
    <row r="5" spans="1:15">
      <c r="A5" t="s">
        <v>55</v>
      </c>
      <c r="E5">
        <v>1004</v>
      </c>
      <c r="F5" t="s">
        <v>35</v>
      </c>
      <c r="G5" t="s">
        <v>36</v>
      </c>
      <c r="H5" t="s">
        <v>37</v>
      </c>
      <c r="I5">
        <v>31</v>
      </c>
      <c r="J5" t="s">
        <v>23</v>
      </c>
      <c r="K5" t="s">
        <v>38</v>
      </c>
      <c r="L5">
        <v>47000</v>
      </c>
      <c r="M5" s="1" t="s">
        <v>39</v>
      </c>
      <c r="N5" s="1" t="s">
        <v>40</v>
      </c>
      <c r="O5" s="2" t="s">
        <v>41</v>
      </c>
    </row>
    <row r="6" spans="1:15">
      <c r="A6" t="s">
        <v>71</v>
      </c>
      <c r="E6">
        <v>1005</v>
      </c>
      <c r="F6" t="s">
        <v>43</v>
      </c>
      <c r="G6" t="s">
        <v>44</v>
      </c>
      <c r="H6" t="s">
        <v>19</v>
      </c>
      <c r="I6">
        <v>32</v>
      </c>
      <c r="J6" t="s">
        <v>14</v>
      </c>
      <c r="K6" t="s">
        <v>45</v>
      </c>
      <c r="L6">
        <v>50000</v>
      </c>
      <c r="M6" s="1" t="s">
        <v>46</v>
      </c>
      <c r="N6" s="1" t="s">
        <v>47</v>
      </c>
      <c r="O6" s="2" t="s">
        <v>48</v>
      </c>
    </row>
    <row r="7" spans="1:15">
      <c r="E7">
        <v>1006</v>
      </c>
      <c r="F7" t="s">
        <v>49</v>
      </c>
      <c r="G7" t="s">
        <v>50</v>
      </c>
      <c r="H7" t="s">
        <v>51</v>
      </c>
      <c r="I7">
        <v>35</v>
      </c>
      <c r="J7" t="s">
        <v>14</v>
      </c>
      <c r="K7" t="s">
        <v>52</v>
      </c>
      <c r="L7">
        <v>65000</v>
      </c>
      <c r="M7" s="1" t="s">
        <v>46</v>
      </c>
      <c r="N7" s="1" t="s">
        <v>53</v>
      </c>
      <c r="O7" s="2" t="s">
        <v>54</v>
      </c>
    </row>
    <row r="8" spans="1:15">
      <c r="E8">
        <v>1007</v>
      </c>
      <c r="F8" t="s">
        <v>55</v>
      </c>
      <c r="G8" t="s">
        <v>56</v>
      </c>
      <c r="H8" t="s">
        <v>34</v>
      </c>
      <c r="I8">
        <v>32</v>
      </c>
      <c r="J8" t="s">
        <v>23</v>
      </c>
      <c r="K8" t="s">
        <v>57</v>
      </c>
      <c r="L8">
        <v>41000</v>
      </c>
      <c r="M8" s="1" t="s">
        <v>58</v>
      </c>
      <c r="N8" s="1" t="s">
        <v>53</v>
      </c>
      <c r="O8" s="2" t="s">
        <v>59</v>
      </c>
    </row>
    <row r="9" spans="1:15">
      <c r="E9">
        <v>1008</v>
      </c>
      <c r="F9" t="s">
        <v>60</v>
      </c>
      <c r="G9" t="s">
        <v>61</v>
      </c>
      <c r="H9" t="s">
        <v>62</v>
      </c>
      <c r="I9">
        <v>38</v>
      </c>
      <c r="J9" t="s">
        <v>14</v>
      </c>
      <c r="K9" t="s">
        <v>15</v>
      </c>
      <c r="L9">
        <v>48000</v>
      </c>
      <c r="M9" s="1" t="s">
        <v>63</v>
      </c>
      <c r="N9" s="1" t="s">
        <v>64</v>
      </c>
      <c r="O9" s="2" t="s">
        <v>65</v>
      </c>
    </row>
    <row r="10" spans="1:15">
      <c r="E10">
        <v>1009</v>
      </c>
      <c r="F10" t="s">
        <v>66</v>
      </c>
      <c r="G10" t="s">
        <v>67</v>
      </c>
      <c r="H10" t="s">
        <v>42</v>
      </c>
      <c r="I10">
        <v>31</v>
      </c>
      <c r="J10" t="s">
        <v>14</v>
      </c>
      <c r="K10" t="s">
        <v>38</v>
      </c>
      <c r="L10">
        <v>42000</v>
      </c>
      <c r="M10" s="1" t="s">
        <v>68</v>
      </c>
      <c r="N10" s="1" t="s">
        <v>64</v>
      </c>
      <c r="O10" s="2" t="s">
        <v>69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4" max="14" width="10.14062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>
      <c r="A2" t="s">
        <v>72</v>
      </c>
      <c r="B2" t="s">
        <v>73</v>
      </c>
      <c r="F2">
        <v>1001</v>
      </c>
      <c r="G2" t="s">
        <v>11</v>
      </c>
      <c r="H2" t="s">
        <v>12</v>
      </c>
      <c r="I2" t="s">
        <v>13</v>
      </c>
      <c r="J2">
        <v>30</v>
      </c>
      <c r="K2" t="s">
        <v>14</v>
      </c>
      <c r="L2" t="s">
        <v>15</v>
      </c>
      <c r="M2">
        <v>45000</v>
      </c>
      <c r="N2" s="1" t="s">
        <v>16</v>
      </c>
      <c r="O2" s="1" t="s">
        <v>17</v>
      </c>
      <c r="P2" s="2" t="s">
        <v>18</v>
      </c>
    </row>
    <row r="3" spans="1:16" ht="15">
      <c r="A3" s="1" t="s">
        <v>74</v>
      </c>
      <c r="B3" t="str">
        <f>_xlfn.XLOOKUP(A3,N2:N10,I2:I10,,1)</f>
        <v>Angela Martin</v>
      </c>
      <c r="F3">
        <v>1002</v>
      </c>
      <c r="G3" t="s">
        <v>20</v>
      </c>
      <c r="H3" t="s">
        <v>21</v>
      </c>
      <c r="I3" t="s">
        <v>22</v>
      </c>
      <c r="J3">
        <v>30</v>
      </c>
      <c r="K3" t="s">
        <v>23</v>
      </c>
      <c r="L3" t="s">
        <v>24</v>
      </c>
      <c r="M3">
        <v>36000</v>
      </c>
      <c r="N3" s="1" t="s">
        <v>25</v>
      </c>
      <c r="O3" s="1" t="s">
        <v>26</v>
      </c>
      <c r="P3" s="2" t="s">
        <v>27</v>
      </c>
    </row>
    <row r="4" spans="1:16" ht="15">
      <c r="A4" s="1" t="s">
        <v>46</v>
      </c>
      <c r="B4" t="str">
        <f>_xlfn.XLOOKUP(A4,N3:N11,I3:I11,,,-1)</f>
        <v>Michael Scott</v>
      </c>
      <c r="F4">
        <v>1003</v>
      </c>
      <c r="G4" t="s">
        <v>28</v>
      </c>
      <c r="H4" t="s">
        <v>29</v>
      </c>
      <c r="I4" t="s">
        <v>30</v>
      </c>
      <c r="J4">
        <v>29</v>
      </c>
      <c r="K4" t="s">
        <v>14</v>
      </c>
      <c r="L4" t="s">
        <v>15</v>
      </c>
      <c r="M4">
        <v>63000</v>
      </c>
      <c r="N4" s="1" t="s">
        <v>31</v>
      </c>
      <c r="O4" s="1" t="s">
        <v>32</v>
      </c>
      <c r="P4" s="2" t="s">
        <v>33</v>
      </c>
    </row>
    <row r="5" spans="1:16">
      <c r="F5">
        <v>1004</v>
      </c>
      <c r="G5" t="s">
        <v>35</v>
      </c>
      <c r="H5" t="s">
        <v>36</v>
      </c>
      <c r="I5" t="s">
        <v>37</v>
      </c>
      <c r="J5">
        <v>31</v>
      </c>
      <c r="K5" t="s">
        <v>23</v>
      </c>
      <c r="L5" t="s">
        <v>38</v>
      </c>
      <c r="M5">
        <v>47000</v>
      </c>
      <c r="N5" s="1" t="s">
        <v>39</v>
      </c>
      <c r="O5" s="1" t="s">
        <v>40</v>
      </c>
      <c r="P5" s="2" t="s">
        <v>41</v>
      </c>
    </row>
    <row r="6" spans="1:16">
      <c r="F6">
        <v>1005</v>
      </c>
      <c r="G6" t="s">
        <v>43</v>
      </c>
      <c r="H6" t="s">
        <v>44</v>
      </c>
      <c r="I6" t="s">
        <v>19</v>
      </c>
      <c r="J6">
        <v>32</v>
      </c>
      <c r="K6" t="s">
        <v>14</v>
      </c>
      <c r="L6" t="s">
        <v>45</v>
      </c>
      <c r="M6">
        <v>50000</v>
      </c>
      <c r="N6" s="1" t="s">
        <v>46</v>
      </c>
      <c r="O6" s="1" t="s">
        <v>47</v>
      </c>
      <c r="P6" s="2" t="s">
        <v>48</v>
      </c>
    </row>
    <row r="7" spans="1:16">
      <c r="F7">
        <v>1006</v>
      </c>
      <c r="G7" t="s">
        <v>49</v>
      </c>
      <c r="H7" t="s">
        <v>50</v>
      </c>
      <c r="I7" t="s">
        <v>51</v>
      </c>
      <c r="J7">
        <v>35</v>
      </c>
      <c r="K7" t="s">
        <v>14</v>
      </c>
      <c r="L7" t="s">
        <v>52</v>
      </c>
      <c r="M7">
        <v>65000</v>
      </c>
      <c r="N7" s="1" t="s">
        <v>46</v>
      </c>
      <c r="O7" s="1" t="s">
        <v>53</v>
      </c>
      <c r="P7" s="2" t="s">
        <v>54</v>
      </c>
    </row>
    <row r="8" spans="1:16">
      <c r="F8">
        <v>1007</v>
      </c>
      <c r="G8" t="s">
        <v>55</v>
      </c>
      <c r="H8" t="s">
        <v>56</v>
      </c>
      <c r="I8" t="s">
        <v>34</v>
      </c>
      <c r="J8">
        <v>32</v>
      </c>
      <c r="K8" t="s">
        <v>23</v>
      </c>
      <c r="L8" t="s">
        <v>57</v>
      </c>
      <c r="M8">
        <v>41000</v>
      </c>
      <c r="N8" s="1" t="s">
        <v>58</v>
      </c>
      <c r="O8" s="1" t="s">
        <v>53</v>
      </c>
      <c r="P8" s="2" t="s">
        <v>59</v>
      </c>
    </row>
    <row r="9" spans="1:16">
      <c r="F9">
        <v>1008</v>
      </c>
      <c r="G9" t="s">
        <v>60</v>
      </c>
      <c r="H9" t="s">
        <v>61</v>
      </c>
      <c r="I9" t="s">
        <v>62</v>
      </c>
      <c r="J9">
        <v>38</v>
      </c>
      <c r="K9" t="s">
        <v>14</v>
      </c>
      <c r="L9" t="s">
        <v>15</v>
      </c>
      <c r="M9">
        <v>48000</v>
      </c>
      <c r="N9" s="1" t="s">
        <v>63</v>
      </c>
      <c r="O9" s="1" t="s">
        <v>64</v>
      </c>
      <c r="P9" s="2" t="s">
        <v>65</v>
      </c>
    </row>
    <row r="10" spans="1:16">
      <c r="F10">
        <v>1009</v>
      </c>
      <c r="G10" t="s">
        <v>66</v>
      </c>
      <c r="H10" t="s">
        <v>67</v>
      </c>
      <c r="I10" t="s">
        <v>42</v>
      </c>
      <c r="J10">
        <v>31</v>
      </c>
      <c r="K10" t="s">
        <v>14</v>
      </c>
      <c r="L10" t="s">
        <v>38</v>
      </c>
      <c r="M10">
        <v>42000</v>
      </c>
      <c r="N10" s="1" t="s">
        <v>68</v>
      </c>
      <c r="O10" s="1" t="s">
        <v>64</v>
      </c>
      <c r="P10" s="2" t="s">
        <v>69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4.45"/>
  <cols>
    <col min="2" max="2" width="12.28515625" bestFit="1" customWidth="1"/>
    <col min="7" max="7" width="12.140625" bestFit="1" customWidth="1"/>
  </cols>
  <sheetData>
    <row r="1" spans="1:19">
      <c r="B1" t="s">
        <v>75</v>
      </c>
      <c r="H1" t="s">
        <v>76</v>
      </c>
      <c r="I1" t="s">
        <v>75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</row>
    <row r="2" spans="1:19">
      <c r="A2" t="s">
        <v>87</v>
      </c>
      <c r="B2">
        <f>_xlfn.XLOOKUP(I1,H1:S1,H2:S2)</f>
        <v>310</v>
      </c>
      <c r="G2" t="s">
        <v>87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88</v>
      </c>
      <c r="B3">
        <f t="shared" ref="B3:B4" si="0">_xlfn.XLOOKUP(I2,H2:S2,H3:S3)</f>
        <v>40</v>
      </c>
      <c r="G3" t="s">
        <v>88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89</v>
      </c>
      <c r="B4">
        <f t="shared" si="0"/>
        <v>118</v>
      </c>
      <c r="G4" t="s">
        <v>89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9" sqref="B9"/>
    </sheetView>
  </sheetViews>
  <sheetFormatPr defaultColWidth="10.140625" defaultRowHeight="14.45"/>
  <cols>
    <col min="2" max="2" width="36.5703125" bestFit="1" customWidth="1"/>
    <col min="7" max="7" width="12.140625" bestFit="1" customWidth="1"/>
  </cols>
  <sheetData>
    <row r="1" spans="1:19">
      <c r="B1" t="s">
        <v>75</v>
      </c>
      <c r="H1" t="s">
        <v>76</v>
      </c>
      <c r="I1" t="s">
        <v>75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</row>
    <row r="2" spans="1:19">
      <c r="A2" t="s">
        <v>87</v>
      </c>
      <c r="B2">
        <f>_xlfn.XLOOKUP(I1,H1:S1,H2:S2)</f>
        <v>310</v>
      </c>
      <c r="G2" t="s">
        <v>87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88</v>
      </c>
      <c r="B3">
        <f t="shared" ref="B3:B4" si="0">_xlfn.XLOOKUP(I2,H2:S2,H3:S3)</f>
        <v>40</v>
      </c>
      <c r="G3" t="s">
        <v>88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89</v>
      </c>
      <c r="B4">
        <f t="shared" si="0"/>
        <v>118</v>
      </c>
      <c r="G4" t="s">
        <v>89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90</v>
      </c>
    </row>
    <row r="7" spans="1:19" ht="45.75">
      <c r="A7" t="s">
        <v>87</v>
      </c>
      <c r="B7" s="3">
        <f ca="1"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workbookViewId="0">
      <selection activeCell="B3" sqref="B3:B5"/>
    </sheetView>
  </sheetViews>
  <sheetFormatPr defaultRowHeight="14.45"/>
  <cols>
    <col min="1" max="1" width="14.42578125" customWidth="1"/>
    <col min="2" max="2" width="28.14062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>
      <c r="A2" t="s">
        <v>3</v>
      </c>
      <c r="B2" t="s">
        <v>10</v>
      </c>
      <c r="E2">
        <v>1001</v>
      </c>
      <c r="F2" t="s">
        <v>11</v>
      </c>
      <c r="G2" t="s">
        <v>12</v>
      </c>
      <c r="H2" t="s">
        <v>13</v>
      </c>
      <c r="I2">
        <v>30</v>
      </c>
      <c r="J2" t="s">
        <v>14</v>
      </c>
      <c r="K2" t="s">
        <v>15</v>
      </c>
      <c r="L2">
        <v>45000</v>
      </c>
      <c r="M2" s="1" t="s">
        <v>16</v>
      </c>
      <c r="N2" s="1" t="s">
        <v>17</v>
      </c>
      <c r="O2" s="2" t="s">
        <v>18</v>
      </c>
    </row>
    <row r="3" spans="1:15">
      <c r="A3" t="s">
        <v>30</v>
      </c>
      <c r="B3" t="str">
        <f>VLOOKUP(A3,H2:O10,8,FALSE)</f>
        <v>Dwight.Schrute@AOL.com</v>
      </c>
      <c r="E3">
        <v>1002</v>
      </c>
      <c r="F3" t="s">
        <v>20</v>
      </c>
      <c r="G3" t="s">
        <v>21</v>
      </c>
      <c r="H3" t="s">
        <v>22</v>
      </c>
      <c r="I3">
        <v>30</v>
      </c>
      <c r="J3" t="s">
        <v>23</v>
      </c>
      <c r="K3" t="s">
        <v>24</v>
      </c>
      <c r="L3">
        <v>36000</v>
      </c>
      <c r="M3" s="1" t="s">
        <v>25</v>
      </c>
      <c r="N3" s="1" t="s">
        <v>26</v>
      </c>
      <c r="O3" s="2" t="s">
        <v>27</v>
      </c>
    </row>
    <row r="4" spans="1:15">
      <c r="A4" t="s">
        <v>51</v>
      </c>
      <c r="B4" t="str">
        <f t="shared" ref="B4:B5" si="0">VLOOKUP(A4,H3:O11,8,FALSE)</f>
        <v>Michael.Scott@DunderMifflin.com</v>
      </c>
      <c r="E4">
        <v>1003</v>
      </c>
      <c r="F4" t="s">
        <v>28</v>
      </c>
      <c r="G4" t="s">
        <v>29</v>
      </c>
      <c r="H4" t="s">
        <v>30</v>
      </c>
      <c r="I4">
        <v>29</v>
      </c>
      <c r="J4" t="s">
        <v>14</v>
      </c>
      <c r="K4" t="s">
        <v>15</v>
      </c>
      <c r="L4">
        <v>63000</v>
      </c>
      <c r="M4" s="1" t="s">
        <v>31</v>
      </c>
      <c r="N4" s="1" t="s">
        <v>32</v>
      </c>
      <c r="O4" s="2" t="s">
        <v>33</v>
      </c>
    </row>
    <row r="5" spans="1:15">
      <c r="A5" t="s">
        <v>62</v>
      </c>
      <c r="B5" t="str">
        <f t="shared" si="0"/>
        <v>Stanley.Hudson@gmail.com</v>
      </c>
      <c r="E5">
        <v>1004</v>
      </c>
      <c r="F5" t="s">
        <v>35</v>
      </c>
      <c r="G5" t="s">
        <v>36</v>
      </c>
      <c r="H5" t="s">
        <v>37</v>
      </c>
      <c r="I5">
        <v>31</v>
      </c>
      <c r="J5" t="s">
        <v>23</v>
      </c>
      <c r="K5" t="s">
        <v>38</v>
      </c>
      <c r="L5">
        <v>47000</v>
      </c>
      <c r="M5" s="1" t="s">
        <v>39</v>
      </c>
      <c r="N5" s="1" t="s">
        <v>40</v>
      </c>
      <c r="O5" s="2" t="s">
        <v>41</v>
      </c>
    </row>
    <row r="6" spans="1:15">
      <c r="E6">
        <v>1005</v>
      </c>
      <c r="F6" t="s">
        <v>43</v>
      </c>
      <c r="G6" t="s">
        <v>44</v>
      </c>
      <c r="H6" t="s">
        <v>19</v>
      </c>
      <c r="I6">
        <v>32</v>
      </c>
      <c r="J6" t="s">
        <v>14</v>
      </c>
      <c r="K6" t="s">
        <v>45</v>
      </c>
      <c r="L6">
        <v>50000</v>
      </c>
      <c r="M6" s="1" t="s">
        <v>46</v>
      </c>
      <c r="N6" s="1" t="s">
        <v>47</v>
      </c>
      <c r="O6" s="2" t="s">
        <v>48</v>
      </c>
    </row>
    <row r="7" spans="1:15">
      <c r="E7">
        <v>1006</v>
      </c>
      <c r="F7" t="s">
        <v>49</v>
      </c>
      <c r="G7" t="s">
        <v>50</v>
      </c>
      <c r="H7" t="s">
        <v>51</v>
      </c>
      <c r="I7">
        <v>35</v>
      </c>
      <c r="J7" t="s">
        <v>14</v>
      </c>
      <c r="K7" t="s">
        <v>52</v>
      </c>
      <c r="L7">
        <v>65000</v>
      </c>
      <c r="M7" s="1" t="s">
        <v>46</v>
      </c>
      <c r="N7" s="1" t="s">
        <v>53</v>
      </c>
      <c r="O7" s="2" t="s">
        <v>54</v>
      </c>
    </row>
    <row r="8" spans="1:15">
      <c r="E8">
        <v>1007</v>
      </c>
      <c r="F8" t="s">
        <v>55</v>
      </c>
      <c r="G8" t="s">
        <v>56</v>
      </c>
      <c r="H8" t="s">
        <v>34</v>
      </c>
      <c r="I8">
        <v>32</v>
      </c>
      <c r="J8" t="s">
        <v>23</v>
      </c>
      <c r="K8" t="s">
        <v>57</v>
      </c>
      <c r="L8">
        <v>41000</v>
      </c>
      <c r="M8" s="1" t="s">
        <v>58</v>
      </c>
      <c r="N8" s="1" t="s">
        <v>53</v>
      </c>
      <c r="O8" s="2" t="s">
        <v>59</v>
      </c>
    </row>
    <row r="9" spans="1:15">
      <c r="E9">
        <v>1008</v>
      </c>
      <c r="F9" t="s">
        <v>60</v>
      </c>
      <c r="G9" t="s">
        <v>61</v>
      </c>
      <c r="H9" t="s">
        <v>62</v>
      </c>
      <c r="I9">
        <v>38</v>
      </c>
      <c r="J9" t="s">
        <v>14</v>
      </c>
      <c r="K9" t="s">
        <v>15</v>
      </c>
      <c r="L9">
        <v>48000</v>
      </c>
      <c r="M9" s="1" t="s">
        <v>63</v>
      </c>
      <c r="N9" s="1" t="s">
        <v>64</v>
      </c>
      <c r="O9" s="2" t="s">
        <v>65</v>
      </c>
    </row>
    <row r="10" spans="1:15">
      <c r="E10">
        <v>1009</v>
      </c>
      <c r="F10" t="s">
        <v>66</v>
      </c>
      <c r="G10" t="s">
        <v>67</v>
      </c>
      <c r="H10" t="s">
        <v>42</v>
      </c>
      <c r="I10">
        <v>31</v>
      </c>
      <c r="J10" t="s">
        <v>14</v>
      </c>
      <c r="K10" t="s">
        <v>38</v>
      </c>
      <c r="L10">
        <v>42000</v>
      </c>
      <c r="M10" s="1" t="s">
        <v>68</v>
      </c>
      <c r="N10" s="1" t="s">
        <v>64</v>
      </c>
      <c r="O10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2025-05-01T01:56:47Z</dcterms:modified>
  <cp:category/>
  <cp:contentStatus/>
</cp:coreProperties>
</file>