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\Downloads\"/>
    </mc:Choice>
  </mc:AlternateContent>
  <xr:revisionPtr revIDLastSave="0" documentId="8_{BB0C23BE-F43B-4BE6-B68A-5DDC24A84F0E}" xr6:coauthVersionLast="47" xr6:coauthVersionMax="47" xr10:uidLastSave="{00000000-0000-0000-0000-000000000000}"/>
  <bookViews>
    <workbookView xWindow="-110" yWindow="-110" windowWidth="19420" windowHeight="1030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3" l="1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8" i="3"/>
  <c r="J9" i="3"/>
  <c r="J10" i="3"/>
  <c r="J6" i="3"/>
  <c r="J2" i="3"/>
  <c r="J3" i="3"/>
  <c r="J4" i="3"/>
  <c r="J5" i="3"/>
  <c r="J7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J3" i="9"/>
  <c r="K2" i="9"/>
  <c r="J2" i="9"/>
  <c r="H11" i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<sst xmlns="http://schemas.openxmlformats.org/spreadsheetml/2006/main" count="583" uniqueCount="88">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</sst>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10" sqref="K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J12" sqref="J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str">
        <f>_xlfn.IFS(F2:F10="salesman","sales",F2:F10="HR","fire immediately",F2:F10="regional manager","give christmas bonus")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si="1">_xlfn.IFS(F3:F11="salesman","sales",F3:F11="HR","fire immediately",F3:F11="regional manager","give christmas bonus")</f>
        <v>#N/A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christmas bonus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  <ignoredErrors>
    <ignoredError sqref="J3:J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2" sqref="K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G1" workbookViewId="0">
      <selection activeCell="N7" sqref="N7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 3)</f>
        <v>Jim</v>
      </c>
      <c r="L2" t="str">
        <f>RIGHT(A2:A10, 1)</f>
        <v>1</v>
      </c>
      <c r="M2" t="str">
        <f>RIGHT(H2:H10, 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 1)</f>
        <v>2</v>
      </c>
      <c r="M3" t="str">
        <f t="shared" ref="M3:M10" si="2">RIGHT(H3:H11, 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  <ignoredErrors>
    <ignoredError sqref="L3:L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B1" workbookViewId="0">
      <selection activeCell="M12" sqref="M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"mm/dd/yyyy")</f>
        <v>11/02/2001</v>
      </c>
      <c r="K2" s="2"/>
      <c r="L2" t="str">
        <f>TEXT(J2:J10, "mm/dd/yyyy")</f>
        <v>02/11/2001</v>
      </c>
      <c r="M2" t="str">
        <f>RIGHT(L2:L10, 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 "DD/MM/YYYY")</f>
        <v>03/10/1999</v>
      </c>
      <c r="K3" s="2"/>
      <c r="L3" t="str">
        <f t="shared" si="0"/>
        <v>03/10/1999</v>
      </c>
      <c r="M3" t="str">
        <f t="shared" ref="M3:M10" si="1">RIGHT(L3:L11, 4)</f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04/07/2000</v>
      </c>
      <c r="M4" t="str">
        <f t="shared" si="1"/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05/01/2000</v>
      </c>
      <c r="M5" t="str">
        <f t="shared" si="1"/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>TEXT(H6:H14, "DD/MM/YYYY")</f>
        <v>06/05/2001</v>
      </c>
      <c r="K6" s="2"/>
      <c r="L6" t="str">
        <f>TEXT(J6:J14, "DD/MM/YYYY")</f>
        <v>06/05/2001</v>
      </c>
      <c r="M6" t="str">
        <f t="shared" si="1"/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07/12/1995</v>
      </c>
      <c r="M7" t="str">
        <f t="shared" si="1"/>
        <v>1995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08/11/2003</v>
      </c>
      <c r="M8" t="str">
        <f t="shared" si="1"/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09/06/2002</v>
      </c>
      <c r="M9" t="str">
        <f t="shared" si="1"/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10/08/2003</v>
      </c>
      <c r="M10" t="str">
        <f t="shared" si="1"/>
        <v>2003</v>
      </c>
    </row>
    <row r="12" spans="1:13" x14ac:dyDescent="0.35">
      <c r="H12" s="1"/>
    </row>
    <row r="13" spans="1:13" x14ac:dyDescent="0.35">
      <c r="H13" s="2"/>
    </row>
  </sheetData>
  <pageMargins left="0.7" right="0.7" top="0.75" bottom="0.75" header="0.3" footer="0.3"/>
  <ignoredErrors>
    <ignoredError sqref="J3:J1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I18" sqref="I18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:K10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 "@gmail.com")</f>
        <v>Jim.Halpert@gmail.com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 "@gmail.com")</f>
        <v>Pam.Beasley@gmail.com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5">
      <c r="H11" t="str">
        <f t="shared" ref="H11:H12" si="2">CONCATENATE(B11," ",C11)</f>
        <v xml:space="preserve"> </v>
      </c>
    </row>
    <row r="12" spans="1:11" x14ac:dyDescent="0.3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2" sqref="K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 "/", "-", 1)</f>
        <v>11-2/2001</v>
      </c>
      <c r="K2" t="str">
        <f>SUBSTITUTE(I2:I10, "/", "-", 2)</f>
        <v>9/6-2015</v>
      </c>
      <c r="L2" t="str">
        <f>SUBSTITUTE(H2:H10, "/", 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K10" si="0">SUBSTITUTE(H3:H11, "/", "-", 1)</f>
        <v>10-3/1999</v>
      </c>
      <c r="K3" t="str">
        <f t="shared" ref="K3:K10" si="1">SUBSTITUTE(I3:I11, "/", "-", 2)</f>
        <v>10/10-2015</v>
      </c>
      <c r="L3" t="str">
        <f t="shared" ref="L3:L10" si="2">SUBSTITUTE(H3:H11, "/", "-")</f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9/8-2017</v>
      </c>
      <c r="L4" t="str">
        <f t="shared" si="2"/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12/3-2015</v>
      </c>
      <c r="L5" t="str">
        <f t="shared" si="2"/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8/30-2017</v>
      </c>
      <c r="L6" t="str">
        <f t="shared" si="2"/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9/11-2013</v>
      </c>
      <c r="L7" t="str">
        <f t="shared" si="2"/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9/11-2013</v>
      </c>
      <c r="L8" t="str">
        <f t="shared" si="2"/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4/22-2015</v>
      </c>
      <c r="L9" t="str">
        <f t="shared" si="2"/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4/22-2015</v>
      </c>
      <c r="L10" t="str">
        <f t="shared" si="2"/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"&gt;45000")</f>
        <v>5</v>
      </c>
      <c r="L2">
        <f>COUNTIFS(A2:A10, "&gt;1005", E2:E10,  "MALE")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N3" sqref="N3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 H2)</f>
        <v>5231</v>
      </c>
      <c r="K2">
        <f>NETWORKDAYS(H2,I2)</f>
        <v>3737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_xlfn.DAYS(I3:I11,H3:H11)</f>
        <v>6058</v>
      </c>
      <c r="K3">
        <f t="shared" ref="K3:K10" si="1">NETWORKDAYS(H3,I3)</f>
        <v>4328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Jen Lawas</cp:lastModifiedBy>
  <dcterms:created xsi:type="dcterms:W3CDTF">2021-12-16T14:18:34Z</dcterms:created>
  <dcterms:modified xsi:type="dcterms:W3CDTF">2025-04-25T13:33:13Z</dcterms:modified>
</cp:coreProperties>
</file>